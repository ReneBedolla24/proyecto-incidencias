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166925"/>
  <mc:AlternateContent xmlns:mc="http://schemas.openxmlformats.org/markup-compatibility/2006">
    <mc:Choice Requires="x15">
      <x15ac:absPath xmlns:x15ac="http://schemas.microsoft.com/office/spreadsheetml/2010/11/ac" url="/Users/bedolla/Documents/"/>
    </mc:Choice>
  </mc:AlternateContent>
  <xr:revisionPtr revIDLastSave="0" documentId="13_ncr:1_{C2253847-6A4D-5C41-8C6C-45F4D03B01DF}" xr6:coauthVersionLast="47" xr6:coauthVersionMax="47" xr10:uidLastSave="{00000000-0000-0000-0000-000000000000}"/>
  <bookViews>
    <workbookView xWindow="0" yWindow="600" windowWidth="28800" windowHeight="15920" activeTab="1" xr2:uid="{77B2A5AA-3D42-46AB-B950-5282A6540CD0}"/>
  </bookViews>
  <sheets>
    <sheet name="Tabla_dinamica" sheetId="3" r:id="rId1"/>
    <sheet name="Datos Incidencias" sheetId="1" r:id="rId2"/>
    <sheet name="TD Incidencias" sheetId="2"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<sst xmlns="http://schemas.openxmlformats.org/spreadsheetml/2006/main" count="299" uniqueCount="131">
  <si>
    <t>INCIDENCIAS AREA DE SISTEMAS</t>
  </si>
  <si>
    <t>FECHA</t>
  </si>
  <si>
    <t>USUARIO</t>
  </si>
  <si>
    <t>AREA</t>
  </si>
  <si>
    <t>DETALLE</t>
  </si>
  <si>
    <t>TIEMPO (MIN)</t>
  </si>
  <si>
    <t>SOLUCIÓN</t>
  </si>
  <si>
    <t>Impresora</t>
  </si>
  <si>
    <t>Red</t>
  </si>
  <si>
    <t>Software</t>
  </si>
  <si>
    <t>Hardware</t>
  </si>
  <si>
    <t>Lupita</t>
  </si>
  <si>
    <t>Chivis</t>
  </si>
  <si>
    <t>Ventas</t>
  </si>
  <si>
    <t>2do piso</t>
  </si>
  <si>
    <t>Impresora marcaba error para cerrar la puerta</t>
  </si>
  <si>
    <t>Se acabó el toner a la impresora 2do piso</t>
  </si>
  <si>
    <t>Revisar correcta colocación del toner y cierre de puerta</t>
  </si>
  <si>
    <t>Cambio de toner</t>
  </si>
  <si>
    <t>Miguel</t>
  </si>
  <si>
    <t>Almacen</t>
  </si>
  <si>
    <t>Se desconfiguró su impresora</t>
  </si>
  <si>
    <t>Volver a agregar la impresora y ponerla como predeterminada</t>
  </si>
  <si>
    <t>Ejemplos de problema</t>
  </si>
  <si>
    <t>Acceso</t>
  </si>
  <si>
    <t>Diego</t>
  </si>
  <si>
    <t>Sistemas</t>
  </si>
  <si>
    <t>Minisplit de servidores haciendo ruido</t>
  </si>
  <si>
    <t>Apagarlo para que se descongele y poner uno provicional</t>
  </si>
  <si>
    <t>Hermilo</t>
  </si>
  <si>
    <t>Ventana emergente con aviso</t>
  </si>
  <si>
    <t>Informar el motivo de la ventana emergente (actualización)</t>
  </si>
  <si>
    <t>Francisco</t>
  </si>
  <si>
    <t>No se veia la tinta en la segunda copia del papel</t>
  </si>
  <si>
    <t>Mantenimiento a impresora, ajuste de parametros y fuente</t>
  </si>
  <si>
    <t>Anabel</t>
  </si>
  <si>
    <t>Contaduria</t>
  </si>
  <si>
    <t>Se le acabó la tinta</t>
  </si>
  <si>
    <t>(en blanco)</t>
  </si>
  <si>
    <t>Total general</t>
  </si>
  <si>
    <t>Incidencias por area</t>
  </si>
  <si>
    <t>Tiempo promedio por tipo de incidencia</t>
  </si>
  <si>
    <t>Area</t>
  </si>
  <si>
    <t>Sofi</t>
  </si>
  <si>
    <t>Papel atorado, ya no imprimia despues</t>
  </si>
  <si>
    <t>Sacar papel, reiniciar</t>
  </si>
  <si>
    <t>Eli</t>
  </si>
  <si>
    <t>3er piso</t>
  </si>
  <si>
    <t>Se le termino la tinta</t>
  </si>
  <si>
    <t>Se termino la tinta</t>
  </si>
  <si>
    <t>Jaime</t>
  </si>
  <si>
    <t>Gerencia</t>
  </si>
  <si>
    <t>Se relleno la tinta</t>
  </si>
  <si>
    <t>Reiniciar programa</t>
  </si>
  <si>
    <t>Barranco</t>
  </si>
  <si>
    <t>Se cambiaba el formato pdf para una impresión</t>
  </si>
  <si>
    <t>Revisar configuraciones del programa e impresora</t>
  </si>
  <si>
    <t>Etiquetas de fila</t>
  </si>
  <si>
    <t>(Todas)</t>
  </si>
  <si>
    <t>Suma de TIEMPO (MIN)</t>
  </si>
  <si>
    <t>Fernando</t>
  </si>
  <si>
    <t>1er piso</t>
  </si>
  <si>
    <t>No prendia su computadora</t>
  </si>
  <si>
    <t>Revisar botón que falla y conexión a la corriente</t>
  </si>
  <si>
    <t>Basandonos en la información recopilada, podemos concluir en que las incidencias mas repetitivas corresponden a problemas con impresoras, cambio de toner, relleno de tinta, reconfiguraciones y atascos de papel</t>
  </si>
  <si>
    <t>Sin embargo, podemos observar que aunque si, es la incidencia que mas tiempo consume al ser la mas repetitiva, individualmente atender estas incidencias no es una tarea muy tardada, salvo en casos muy especificos.</t>
  </si>
  <si>
    <t>Etiquetas de columna</t>
  </si>
  <si>
    <t>Tambien podemos observar que el area que tiene mas incidencias se encuentra en el segundo piso, aunque el gráfico muestra el area de ventas con el pico mas alto, esto se debe a un evento extraordinario con un cliente y no a algo cotidiano.</t>
  </si>
  <si>
    <r>
      <rPr>
        <b/>
        <sz val="14"/>
        <color theme="1"/>
        <rFont val="Calibri (Cuerpo)"/>
      </rPr>
      <t>Conclusiones</t>
    </r>
    <r>
      <rPr>
        <sz val="11"/>
        <color theme="1"/>
        <rFont val="Calibri"/>
        <family val="2"/>
        <scheme val="minor"/>
      </rPr>
      <t>:</t>
    </r>
  </si>
  <si>
    <t>Contadora</t>
  </si>
  <si>
    <t>Correo marcaba no enviado</t>
  </si>
  <si>
    <t>La dirección de correo estaba mal escrita</t>
  </si>
  <si>
    <t>No se podia imprimr un archivo</t>
  </si>
  <si>
    <t>Cambiar configuracion de quattro pro para imprimir</t>
  </si>
  <si>
    <t>No se podia imprimir un documento</t>
  </si>
  <si>
    <t>Revisar funcionamiento de impresora, cerrar y abrir sesión del programa</t>
  </si>
  <si>
    <t>Terminal no encendía</t>
  </si>
  <si>
    <t>Abrir terminal, limpiar, cambiar pila y revisar boton de encendido</t>
  </si>
  <si>
    <t>No se podia conectar al servidor</t>
  </si>
  <si>
    <t>Cambiar hora de la terminal desde la bios para que se pudiera conectar</t>
  </si>
  <si>
    <t>No se reconocia la impresora y el programa se trababa</t>
  </si>
  <si>
    <t>Conectar la impresora en el puerto correcto, configurarla e imprimir</t>
  </si>
  <si>
    <t>Monroy</t>
  </si>
  <si>
    <t>Mensaje de alerta al conectar a servidor</t>
  </si>
  <si>
    <t>La terminal no encendia</t>
  </si>
  <si>
    <t>Revisar el boton de encendido que falla</t>
  </si>
  <si>
    <t>Karla</t>
  </si>
  <si>
    <t>Serrano</t>
  </si>
  <si>
    <t>Impresiones salian sin tinta</t>
  </si>
  <si>
    <t>Revisar toner, agitar para que salga bien la tinta</t>
  </si>
  <si>
    <t>Desatascar hojas</t>
  </si>
  <si>
    <t>Hojas atoradas</t>
  </si>
  <si>
    <t>Impresora sin toner</t>
  </si>
  <si>
    <t>Cambio de toner a la impresora</t>
  </si>
  <si>
    <t>Usuarios no podían usar sistema ASPEL</t>
  </si>
  <si>
    <t>Reinicio del servidor y revisar arranque del sistema ASPEL</t>
  </si>
  <si>
    <t>Limpieza de la impresora, hoja de limpieza, revisar y agitar el toner</t>
  </si>
  <si>
    <t xml:space="preserve">Impresiones salian con rayas desfazadas </t>
  </si>
  <si>
    <t>Revision del formato en excel</t>
  </si>
  <si>
    <t>No salian las impresiones, la impresora se desconfiiguro</t>
  </si>
  <si>
    <t>Cambio de puerto, reinicio de terminal y agregar impresora</t>
  </si>
  <si>
    <t>Aspel marcaba error al querer enviar una factura por correo</t>
  </si>
  <si>
    <t>Revisión de factura y correo que estaba mal escrito</t>
  </si>
  <si>
    <t>Servidor  FreeNAS se reinició y no cargaban apps de usuarios</t>
  </si>
  <si>
    <t>Reinicio del servidor y revisar arranque de sistema y apps de usuarios</t>
  </si>
  <si>
    <t>No se podia conectar a sus aplicaciones remotas</t>
  </si>
  <si>
    <t>Dar de alta con su contraseña nuevamente al usuario en freenas</t>
  </si>
  <si>
    <t>No arrancaba su terminal porque no cargó correctamente el SO</t>
  </si>
  <si>
    <t>Reiniciar terminal desconectandola para que cargara el sistema</t>
  </si>
  <si>
    <t>Telefono sin linea</t>
  </si>
  <si>
    <t>Encender la pastilla que se bajó, no habia luz en el cuarto donde se conectan sus telefonos</t>
  </si>
  <si>
    <t>Su terminal no encendia sola despues de apagarse</t>
  </si>
  <si>
    <t>Revisar boton de encendido y configuracion en BIOS</t>
  </si>
  <si>
    <t>Manolo</t>
  </si>
  <si>
    <t>No se podia imprimir un reporte desde SAE</t>
  </si>
  <si>
    <t>Revisar impresora predeterminada, salir y entrar de la sesion de SAE</t>
  </si>
  <si>
    <t>Las hojas se atoraban al querer imprimir</t>
  </si>
  <si>
    <t>Revisar la impresora por dentro (tenia un lapicero atorado dentro)</t>
  </si>
  <si>
    <t>German</t>
  </si>
  <si>
    <t>Su terminal no encendia</t>
  </si>
  <si>
    <t xml:space="preserve">Revisar energía, eliminador no estaba bien conectado </t>
  </si>
  <si>
    <t>CATEGORIA</t>
  </si>
  <si>
    <t>TIPO_PROBLEMA</t>
  </si>
  <si>
    <t>Minisplit</t>
  </si>
  <si>
    <t>Sistema operativo</t>
  </si>
  <si>
    <t>No abria un archivo en quattro pro</t>
  </si>
  <si>
    <t>ASPEL</t>
  </si>
  <si>
    <t>Correo</t>
  </si>
  <si>
    <t>Quattro pro</t>
  </si>
  <si>
    <t>Excel</t>
  </si>
  <si>
    <t>Servidor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</si>
</sst>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color theme="1"/>
      <name val="Calibri (Cuerpo)"/>
    </font>
  </fonts>
  <fills count="2">
    <fill>
      <patternFill patternType="none"/>
    </fill>
    <fill>
      <patternFill patternType="gray125"/>
    </fill>
  </fills>
  <borders count="1">
    <border>
      <left/>
      <right/>
      <top/>
      <bottom/>
      <diagonal/>
    </border>
  </borders>
  <cellStyleXfs count="1">
    <xf numFmtId="0" fontId="0" fillId="0" borderId="0"/>
  </cellStyleXfs>
  <cellXfs count="53">
    <xf numFmtId="0" fontId="0" fillId="0" borderId="0" xfId="0"/>
    <xf numFmtId="0" fontId="16" fillId="0" borderId="0" xfId="0" applyFont="1"/>
    <xf numFmtId="0" fontId="17" fillId="0" borderId="0" xfId="0" applyFont="1"/>
    <xf numFmtId="0" fontId="18" fillId="0" borderId="0" xfId="0" applyFont="1" applyAlignment="1">
      <alignment horizontal="center"/>
    </xf>
    <xf numFmtId="0" fontId="15" fillId="0" borderId="0" xfId="0" applyFont="1"/>
    <xf numFmtId="0" fontId="16" fillId="0" borderId="0" xfId="0" applyFont="1" applyAlignment="1">
      <alignment horizontal="center"/>
    </xf>
    <xf numFmtId="0" fontId="15" fillId="0" borderId="0" xfId="0" applyFont="1" applyAlignment="1">
      <alignment horizontal="center"/>
    </xf>
    <xf numFmtId="14" fontId="15" fillId="0" borderId="0" xfId="0" applyNumberFormat="1" applyFont="1" applyAlignment="1">
      <alignment horizontal="center"/>
    </xf>
    <xf numFmtId="0" fontId="19" fillId="0" borderId="0" xfId="0" applyFont="1" applyAlignment="1">
      <alignment horizontal="center"/>
    </xf>
    <xf numFmtId="0" fontId="19" fillId="0" borderId="0" xfId="0" pivotButton="1" applyFont="1" applyAlignment="1">
      <alignment horizontal="center"/>
    </xf>
    <xf numFmtId="0" fontId="15" fillId="0" borderId="0" xfId="0" applyFont="1" applyAlignment="1">
      <alignment horizontal="left"/>
    </xf>
    <xf numFmtId="0" fontId="0" fillId="0" borderId="0" xfId="0" pivotButton="1"/>
    <xf numFmtId="0" fontId="0" fillId="0" borderId="0" xfId="0" applyAlignment="1">
      <alignment horizontal="left"/>
    </xf>
    <xf numFmtId="0" fontId="14" fillId="0" borderId="0" xfId="0" applyFont="1" applyAlignment="1">
      <alignment horizontal="center"/>
    </xf>
    <xf numFmtId="0" fontId="14" fillId="0" borderId="0" xfId="0" applyFont="1"/>
    <xf numFmtId="0" fontId="0" fillId="0" borderId="0" xfId="0" applyAlignment="1">
      <alignment horizontal="left" vertical="top"/>
    </xf>
    <xf numFmtId="14" fontId="13" fillId="0" borderId="0" xfId="0" applyNumberFormat="1" applyFont="1" applyAlignment="1">
      <alignment horizontal="center"/>
    </xf>
    <xf numFmtId="0" fontId="13" fillId="0" borderId="0" xfId="0" applyFont="1" applyAlignment="1">
      <alignment horizontal="center"/>
    </xf>
    <xf numFmtId="0" fontId="13" fillId="0" borderId="0" xfId="0" applyFont="1"/>
    <xf numFmtId="0" fontId="12" fillId="0" borderId="0" xfId="0" applyFont="1" applyAlignment="1">
      <alignment horizontal="center"/>
    </xf>
    <xf numFmtId="14" fontId="12" fillId="0" borderId="0" xfId="0" applyNumberFormat="1" applyFont="1" applyAlignment="1">
      <alignment horizontal="center"/>
    </xf>
    <xf numFmtId="0" fontId="12" fillId="0" borderId="0" xfId="0" applyFont="1"/>
    <xf numFmtId="14" fontId="11" fillId="0" borderId="0" xfId="0" applyNumberFormat="1" applyFont="1" applyAlignment="1">
      <alignment horizontal="center"/>
    </xf>
    <xf numFmtId="0" fontId="11" fillId="0" borderId="0" xfId="0" applyFont="1" applyAlignment="1">
      <alignment horizontal="center"/>
    </xf>
    <xf numFmtId="0" fontId="11" fillId="0" borderId="0" xfId="0" applyFont="1"/>
    <xf numFmtId="14" fontId="10" fillId="0" borderId="0" xfId="0" applyNumberFormat="1" applyFont="1" applyAlignment="1">
      <alignment horizontal="center"/>
    </xf>
    <xf numFmtId="0" fontId="10" fillId="0" borderId="0" xfId="0" applyFont="1" applyAlignment="1">
      <alignment horizontal="center"/>
    </xf>
    <xf numFmtId="0" fontId="10" fillId="0" borderId="0" xfId="0" applyFont="1"/>
    <xf numFmtId="14" fontId="9" fillId="0" borderId="0" xfId="0" applyNumberFormat="1" applyFont="1" applyAlignment="1">
      <alignment horizontal="center"/>
    </xf>
    <xf numFmtId="0" fontId="9" fillId="0" borderId="0" xfId="0" applyFont="1" applyAlignment="1">
      <alignment horizontal="center"/>
    </xf>
    <xf numFmtId="0" fontId="9" fillId="0" borderId="0" xfId="0" applyFont="1"/>
    <xf numFmtId="14" fontId="8" fillId="0" borderId="0" xfId="0" applyNumberFormat="1" applyFont="1" applyAlignment="1">
      <alignment horizontal="center"/>
    </xf>
    <xf numFmtId="0" fontId="8" fillId="0" borderId="0" xfId="0" applyFont="1" applyAlignment="1">
      <alignment horizontal="center"/>
    </xf>
    <xf numFmtId="0" fontId="8" fillId="0" borderId="0" xfId="0" applyFont="1"/>
    <xf numFmtId="14" fontId="7" fillId="0" borderId="0" xfId="0" applyNumberFormat="1" applyFont="1" applyAlignment="1">
      <alignment horizontal="center"/>
    </xf>
    <xf numFmtId="0" fontId="7" fillId="0" borderId="0" xfId="0" applyFont="1" applyAlignment="1">
      <alignment horizontal="center"/>
    </xf>
    <xf numFmtId="0" fontId="7" fillId="0" borderId="0" xfId="0" applyFont="1"/>
    <xf numFmtId="0" fontId="6" fillId="0" borderId="0" xfId="0" applyFont="1" applyAlignment="1">
      <alignment horizontal="center"/>
    </xf>
    <xf numFmtId="14" fontId="5" fillId="0" borderId="0" xfId="0" applyNumberFormat="1" applyFont="1" applyAlignment="1">
      <alignment horizontal="center"/>
    </xf>
    <xf numFmtId="0" fontId="5" fillId="0" borderId="0" xfId="0" applyFont="1" applyAlignment="1">
      <alignment horizontal="center"/>
    </xf>
    <xf numFmtId="0" fontId="5" fillId="0" borderId="0" xfId="0" applyFont="1"/>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14" fontId="3" fillId="0" borderId="0" xfId="0" applyNumberFormat="1" applyFont="1" applyAlignment="1">
      <alignment horizontal="center"/>
    </xf>
    <xf numFmtId="0" fontId="3" fillId="0" borderId="0" xfId="0" applyFont="1" applyAlignment="1">
      <alignment horizontal="center"/>
    </xf>
    <xf numFmtId="0" fontId="3" fillId="0" borderId="0" xfId="0" applyFont="1"/>
    <xf numFmtId="14" fontId="2" fillId="0" borderId="0" xfId="0" applyNumberFormat="1" applyFont="1" applyAlignment="1">
      <alignment horizontal="center"/>
    </xf>
    <xf numFmtId="0" fontId="2" fillId="0" borderId="0" xfId="0" applyFont="1" applyAlignment="1">
      <alignment horizontal="center"/>
    </xf>
    <xf numFmtId="0" fontId="2" fillId="0" borderId="0" xfId="0" applyFont="1"/>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cellXfs>
  <cellStyles count="1">
    <cellStyle name="Normal" xfId="0" builtinId="0"/>
  </cellStyles>
  <dxfs count="39">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z val="12"/>
      </font>
    </dxf>
    <dxf>
      <alignment horizontal="center"/>
    </dxf>
    <dxf>
      <alignment horizontal="center"/>
    </dxf>
    <dxf>
      <font>
        <sz val="14"/>
      </font>
    </dxf>
    <dxf>
      <alignment horizontal="left"/>
    </dxf>
    <dxf>
      <alignment horizontal="center"/>
    </dxf>
    <dxf>
      <font>
        <sz val="12"/>
      </font>
    </dxf>
    <dxf>
      <alignment horizontal="center"/>
    </dxf>
    <dxf>
      <alignment horizontal="center"/>
    </dxf>
    <dxf>
      <font>
        <sz val="14"/>
      </font>
    </dxf>
    <dxf>
      <alignment horizontal="center"/>
    </dxf>
    <dxf>
      <font>
        <sz val="14"/>
      </font>
    </dxf>
    <dxf>
      <font>
        <sz val="14"/>
      </font>
    </dxf>
    <dxf>
      <font>
        <sz val="12"/>
      </font>
    </dxf>
    <dxf>
      <font>
        <sz val="12"/>
      </font>
    </dxf>
    <dxf>
      <font>
        <sz val="12"/>
      </font>
    </dxf>
    <dxf>
      <alignment horizontal="left"/>
    </dxf>
    <dxf>
      <alignment horizontal="left"/>
    </dxf>
    <dxf>
      <alignment horizontal="center"/>
    </dxf>
    <dxf>
      <font>
        <sz val="12"/>
      </font>
    </dxf>
    <dxf>
      <alignment horizontal="center"/>
    </dxf>
    <dxf>
      <font>
        <sz val="12"/>
      </font>
    </dxf>
    <dxf>
      <alignment horizontal="center"/>
    </dxf>
    <dxf>
      <alignment horizontal="center"/>
    </dxf>
    <dxf>
      <alignment horizontal="center"/>
    </dxf>
    <dxf>
      <font>
        <sz val="14"/>
      </font>
    </dxf>
    <dxf>
      <alignment horizontal="center"/>
    </dxf>
    <dxf>
      <font>
        <sz val="14"/>
      </font>
    </dxf>
    <dxf>
      <font>
        <sz val="14"/>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[Incidencias.xlsx]Tabla_dinamica!TablaDinámica3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8081137157207"/>
          <c:y val="5.3604057485651224E-2"/>
          <c:w val="0.49445280299269623"/>
          <c:h val="0.70743926088561426"/>
        </c:manualLayout>
      </c:layout>
      <c:barChart>
        <c:barDir val="col"/>
        <c:grouping val="clustered"/>
        <c:varyColors val="0"/>
        <c:ser>
          <c:idx val="0"/>
          <c:order val="0"/>
          <c:tx>
            <c:strRef>
              <c:f>Tabla_dinamica!$B$17:$B$18</c:f>
              <c:strCache>
                <c:ptCount val="1"/>
                <c:pt idx="0">
                  <c:v>2do piso</c:v>
                </c:pt>
              </c:strCache>
            </c:strRef>
          </c:tx>
          <c:spPr>
            <a:solidFill>
              <a:schemeClr val="accent1"/>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Tabla_dinamica!$B$19:$B$23</c:f>
              <c:numCache>
                <c:formatCode>General</c:formatCode>
                <c:ptCount val="4"/>
                <c:pt idx="1">
                  <c:v>10</c:v>
                </c:pt>
              </c:numCache>
            </c:numRef>
          </c:val>
          <c:extLst>
            <c:ext xmlns:c16="http://schemas.microsoft.com/office/drawing/2014/chart" uri="{C3380CC4-5D6E-409C-BE32-E72D297353CC}">
              <c16:uniqueId val="{00000000-8CA3-D940-8728-BEFBD03143E7}"/>
            </c:ext>
          </c:extLst>
        </c:ser>
        <c:ser>
          <c:idx val="1"/>
          <c:order val="1"/>
          <c:tx>
            <c:strRef>
              <c:f>Tabla_dinamica!$C$17:$C$18</c:f>
              <c:strCache>
                <c:ptCount val="1"/>
                <c:pt idx="0">
                  <c:v>Almacen</c:v>
                </c:pt>
              </c:strCache>
            </c:strRef>
          </c:tx>
          <c:spPr>
            <a:solidFill>
              <a:schemeClr val="accent2"/>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Tabla_dinamica!$C$19:$C$23</c:f>
              <c:numCache>
                <c:formatCode>General</c:formatCode>
                <c:ptCount val="4"/>
                <c:pt idx="1">
                  <c:v>3</c:v>
                </c:pt>
                <c:pt idx="2">
                  <c:v>2</c:v>
                </c:pt>
              </c:numCache>
            </c:numRef>
          </c:val>
          <c:extLst>
            <c:ext xmlns:c16="http://schemas.microsoft.com/office/drawing/2014/chart" uri="{C3380CC4-5D6E-409C-BE32-E72D297353CC}">
              <c16:uniqueId val="{00000002-8CA3-D940-8728-BEFBD03143E7}"/>
            </c:ext>
          </c:extLst>
        </c:ser>
        <c:ser>
          <c:idx val="2"/>
          <c:order val="2"/>
          <c:tx>
            <c:strRef>
              <c:f>Tabla_dinamica!$D$17:$D$18</c:f>
              <c:strCache>
                <c:ptCount val="1"/>
                <c:pt idx="0">
                  <c:v>Contaduria</c:v>
                </c:pt>
              </c:strCache>
            </c:strRef>
          </c:tx>
          <c:spPr>
            <a:solidFill>
              <a:schemeClr val="accent3"/>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Tabla_dinamica!$D$19:$D$23</c:f>
              <c:numCache>
                <c:formatCode>General</c:formatCode>
                <c:ptCount val="4"/>
                <c:pt idx="1">
                  <c:v>5</c:v>
                </c:pt>
              </c:numCache>
            </c:numRef>
          </c:val>
          <c:extLst>
            <c:ext xmlns:c16="http://schemas.microsoft.com/office/drawing/2014/chart" uri="{C3380CC4-5D6E-409C-BE32-E72D297353CC}">
              <c16:uniqueId val="{00000003-8CA3-D940-8728-BEFBD03143E7}"/>
            </c:ext>
          </c:extLst>
        </c:ser>
        <c:ser>
          <c:idx val="3"/>
          <c:order val="3"/>
          <c:tx>
            <c:strRef>
              <c:f>Tabla_dinamica!$E$17:$E$18</c:f>
              <c:strCache>
                <c:ptCount val="1"/>
                <c:pt idx="0">
                  <c:v>Sistemas</c:v>
                </c:pt>
              </c:strCache>
            </c:strRef>
          </c:tx>
          <c:spPr>
            <a:solidFill>
              <a:schemeClr val="accent4"/>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Tabla_dinamica!$E$19:$E$23</c:f>
              <c:numCache>
                <c:formatCode>General</c:formatCode>
                <c:ptCount val="4"/>
                <c:pt idx="0">
                  <c:v>5</c:v>
                </c:pt>
              </c:numCache>
            </c:numRef>
          </c:val>
          <c:extLst>
            <c:ext xmlns:c16="http://schemas.microsoft.com/office/drawing/2014/chart" uri="{C3380CC4-5D6E-409C-BE32-E72D297353CC}">
              <c16:uniqueId val="{00000004-8CA3-D940-8728-BEFBD03143E7}"/>
            </c:ext>
          </c:extLst>
        </c:ser>
        <c:ser>
          <c:idx val="4"/>
          <c:order val="4"/>
          <c:tx>
            <c:strRef>
              <c:f>Tabla_dinamica!$F$17:$F$18</c:f>
              <c:strCache>
                <c:ptCount val="1"/>
                <c:pt idx="0">
                  <c:v>Ventas</c:v>
                </c:pt>
              </c:strCache>
            </c:strRef>
          </c:tx>
          <c:spPr>
            <a:solidFill>
              <a:schemeClr val="accent5"/>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Tabla_dinamica!$F$19:$F$23</c:f>
              <c:numCache>
                <c:formatCode>General</c:formatCode>
                <c:ptCount val="4"/>
                <c:pt idx="1">
                  <c:v>125</c:v>
                </c:pt>
              </c:numCache>
            </c:numRef>
          </c:val>
          <c:extLst>
            <c:ext xmlns:c16="http://schemas.microsoft.com/office/drawing/2014/chart" uri="{C3380CC4-5D6E-409C-BE32-E72D297353CC}">
              <c16:uniqueId val="{00000005-8CA3-D940-8728-BEFBD03143E7}"/>
            </c:ext>
          </c:extLst>
        </c:ser>
        <c:ser>
          <c:idx val="5"/>
          <c:order val="5"/>
          <c:tx>
            <c:strRef>
              <c:f>Tabla_dinamica!$G$17:$G$18</c:f>
              <c:strCache>
                <c:ptCount val="1"/>
                <c:pt idx="0">
                  <c:v>(en blanco)</c:v>
                </c:pt>
              </c:strCache>
            </c:strRef>
          </c:tx>
          <c:spPr>
            <a:solidFill>
              <a:schemeClr val="accent6"/>
            </a:solidFill>
            <a:ln>
              <a:noFill/>
            </a:ln>
            <a:effectLst/>
          </c:spPr>
          <c:invertIfNegative val="0"/>
          <c:cat>
            <c:strRef>
              <c:f>Tabla_dinamica!$A$19:$A$23</c:f>
              <c:strCache>
                <c:ptCount val="4"/>
                <c:pt idx="0">
                  <c:v>Hardware</c:v>
                </c:pt>
                <c:pt idx="1">
                  <c:v>Impresora</c:v>
                </c:pt>
                <c:pt idx="2">
                  <c:v>Software</c:v>
                </c:pt>
                <c:pt idx="3">
                  <c:v>(en blanco)</c:v>
                </c:pt>
              </c:strCache>
            </c:strRef>
          </c:cat>
          <c:val>
            <c:numRef>
              <c:f>Tabla_dinamica!$G$19:$G$23</c:f>
              <c:numCache>
                <c:formatCode>General</c:formatCode>
                <c:ptCount val="4"/>
              </c:numCache>
            </c:numRef>
          </c:val>
          <c:extLst>
            <c:ext xmlns:c16="http://schemas.microsoft.com/office/drawing/2014/chart" uri="{C3380CC4-5D6E-409C-BE32-E72D297353CC}">
              <c16:uniqueId val="{00000006-8CA3-D940-8728-BEFBD03143E7}"/>
            </c:ext>
          </c:extLst>
        </c:ser>
        <c:dLbls>
          <c:showLegendKey val="0"/>
          <c:showVal val="0"/>
          <c:showCatName val="0"/>
          <c:showSerName val="0"/>
          <c:showPercent val="0"/>
          <c:showBubbleSize val="0"/>
        </c:dLbls>
        <c:gapWidth val="219"/>
        <c:overlap val="-27"/>
        <c:axId val="2035081535"/>
        <c:axId val="2035083327"/>
      </c:barChart>
      <c:catAx>
        <c:axId val="20350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5083327"/>
        <c:crosses val="autoZero"/>
        <c:auto val="1"/>
        <c:lblAlgn val="ctr"/>
        <c:lblOffset val="100"/>
        <c:noMultiLvlLbl val="0"/>
      </c:catAx>
      <c:valAx>
        <c:axId val="20350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508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224893</xdr:colOff>
      <xdr:row>16</xdr:row>
      <xdr:rowOff>25400</xdr:rowOff>
    </xdr:from>
    <xdr:to>
      <xdr:col>11</xdr:col>
      <xdr:colOff>893185</xdr:colOff>
      <xdr:row>29</xdr:row>
      <xdr:rowOff>19843</xdr:rowOff>
    </xdr:to>
    <xdr:graphicFrame macro="">
      <xdr:nvGraphicFramePr>
        <xdr:cNvPr id="2" name="Gráfico 1">
          <a:extLst>
            <a:ext uri="{FF2B5EF4-FFF2-40B4-BE49-F238E27FC236}">
              <a16:creationId xmlns:a16="http://schemas.microsoft.com/office/drawing/2014/main" id="{4C90B7DC-6C0C-59E4-6F5D-B71A58CB1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e Bedolla" refreshedDate="46140.382302893522" createdVersion="7" refreshedVersion="7" minRefreshableVersion="3" recordCount="11" xr:uid="{CB87BF93-F12A-4B2F-9F07-0E4E3A4E8F8D}">
  <cacheSource type="worksheet">
    <worksheetSource name="td_incidencias"/>
  </cacheSource>
  <cacheFields count="7">
    <cacheField name="FECHA" numFmtId="14">
      <sharedItems containsNonDate="0" containsDate="1" containsString="0" containsBlank="1" minDate="2026-04-22T00:00:00" maxDate="2026-04-25T00:00:00" count="4">
        <d v="2026-04-22T00:00:00"/>
        <d v="2026-04-23T00:00:00"/>
        <d v="2026-04-24T00:00:00"/>
        <m/>
      </sharedItems>
    </cacheField>
    <cacheField name="USUARIO" numFmtId="0">
      <sharedItems containsBlank="1" count="8">
        <s v="Lupita"/>
        <s v="Diego"/>
        <s v="Chivis"/>
        <s v="Miguel"/>
        <s v="Hermilo"/>
        <s v="Francisco"/>
        <s v="Anabel"/>
        <m/>
      </sharedItems>
    </cacheField>
    <cacheField name="AREA" numFmtId="0">
      <sharedItems containsBlank="1" count="6">
        <s v="Ventas"/>
        <s v="Sistemas"/>
        <s v="2do piso"/>
        <s v="Almacen"/>
        <s v="Contaduria"/>
        <m/>
      </sharedItems>
    </cacheField>
    <cacheField name="TIPO DE PROBLEMA" numFmtId="0">
      <sharedItems containsBlank="1" count="4">
        <s v="Impresora"/>
        <s v="Hardware"/>
        <s v="Software"/>
        <m/>
      </sharedItems>
    </cacheField>
    <cacheField name="DETALLE" numFmtId="0">
      <sharedItems containsBlank="1" count="8">
        <s v="Impresora marcaba error para cerrar la puerta"/>
        <s v="Minisplit de servidores haciendo ruido"/>
        <s v="Se acabó el toner a la impresora 2do piso"/>
        <s v="Se desconfiguró su impresora"/>
        <s v="Ventana emergente con aviso"/>
        <s v="No se veia la tinta en la segunda copia del papel"/>
        <s v="Se le acabó la tinta"/>
        <m/>
      </sharedItems>
    </cacheField>
    <cacheField name="TIEMPO (MIN)" numFmtId="0">
      <sharedItems containsString="0" containsBlank="1" containsNumber="1" containsInteger="1" minValue="2" maxValue="120" count="6">
        <n v="5"/>
        <n v="10"/>
        <n v="3"/>
        <n v="2"/>
        <n v="120"/>
        <m/>
      </sharedItems>
    </cacheField>
    <cacheField name="SOLUCIÓN" numFmtId="0">
      <sharedItems containsBlank="1" count="7">
        <s v="Revisar correcta colocación del toner y cierre de puerta"/>
        <s v="Apagarlo para que se descongele y poner uno provicional"/>
        <s v="Cambio de toner"/>
        <s v="Volver a agregar la impresora y ponerla como predeterminada"/>
        <s v="Informar el motivo de la ventana emergente (actualización)"/>
        <s v="Mantenimiento a impresora, ajuste de parametros y fuent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x v="0"/>
    <x v="0"/>
  </r>
  <r>
    <x v="0"/>
    <x v="1"/>
    <x v="1"/>
    <x v="1"/>
    <x v="1"/>
    <x v="0"/>
    <x v="1"/>
  </r>
  <r>
    <x v="0"/>
    <x v="2"/>
    <x v="2"/>
    <x v="0"/>
    <x v="2"/>
    <x v="1"/>
    <x v="2"/>
  </r>
  <r>
    <x v="1"/>
    <x v="3"/>
    <x v="3"/>
    <x v="0"/>
    <x v="3"/>
    <x v="2"/>
    <x v="3"/>
  </r>
  <r>
    <x v="1"/>
    <x v="4"/>
    <x v="3"/>
    <x v="2"/>
    <x v="4"/>
    <x v="3"/>
    <x v="4"/>
  </r>
  <r>
    <x v="2"/>
    <x v="5"/>
    <x v="0"/>
    <x v="0"/>
    <x v="5"/>
    <x v="4"/>
    <x v="5"/>
  </r>
  <r>
    <x v="2"/>
    <x v="6"/>
    <x v="4"/>
    <x v="0"/>
    <x v="6"/>
    <x v="0"/>
    <x v="2"/>
  </r>
  <r>
    <x v="3"/>
    <x v="7"/>
    <x v="5"/>
    <x v="3"/>
    <x v="7"/>
    <x v="5"/>
    <x v="6"/>
  </r>
  <r>
    <x v="3"/>
    <x v="7"/>
    <x v="5"/>
    <x v="3"/>
    <x v="7"/>
    <x v="5"/>
    <x v="6"/>
  </r>
  <r>
    <x v="3"/>
    <x v="7"/>
    <x v="5"/>
    <x v="3"/>
    <x v="7"/>
    <x v="5"/>
    <x v="6"/>
  </r>
  <r>
    <x v="3"/>
    <x v="7"/>
    <x v="5"/>
    <x v="3"/>
    <x v="7"/>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C79DA-65D8-DC4A-AA94-8E199B2624FB}"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17:H23" firstHeaderRow="1" firstDataRow="2" firstDataCol="1"/>
  <pivotFields count="7">
    <pivotField showAll="0"/>
    <pivotField showAll="0">
      <items count="9">
        <item x="6"/>
        <item x="2"/>
        <item x="1"/>
        <item x="5"/>
        <item x="4"/>
        <item x="0"/>
        <item x="3"/>
        <item x="7"/>
        <item t="default"/>
      </items>
    </pivotField>
    <pivotField axis="axisCol" showAll="0">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items count="7">
        <item x="3"/>
        <item x="2"/>
        <item x="0"/>
        <item x="1"/>
        <item x="4"/>
        <item x="5"/>
        <item t="default"/>
      </items>
    </pivotField>
    <pivotField showAll="0"/>
  </pivotFields>
  <rowFields count="1">
    <field x="3"/>
  </rowFields>
  <rowItems count="5">
    <i>
      <x/>
    </i>
    <i>
      <x v="1"/>
    </i>
    <i>
      <x v="2"/>
    </i>
    <i>
      <x v="3"/>
    </i>
    <i t="grand">
      <x/>
    </i>
  </rowItems>
  <colFields count="1">
    <field x="2"/>
  </colFields>
  <colItems count="7">
    <i>
      <x/>
    </i>
    <i>
      <x v="1"/>
    </i>
    <i>
      <x v="2"/>
    </i>
    <i>
      <x v="3"/>
    </i>
    <i>
      <x v="4"/>
    </i>
    <i>
      <x v="5"/>
    </i>
    <i t="grand">
      <x/>
    </i>
  </colItems>
  <dataFields count="1">
    <dataField name="Suma de TIEMPO (MIN)" fld="5"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F8865-3619-2742-A5CA-6D90376E248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9" firstHeaderRow="1" firstDataRow="1" firstDataCol="1" rowPageCount="1" colPageCount="1"/>
  <pivotFields count="7">
    <pivotField showAll="0"/>
    <pivotField showAll="0">
      <items count="9">
        <item x="6"/>
        <item x="2"/>
        <item x="1"/>
        <item x="5"/>
        <item x="4"/>
        <item x="0"/>
        <item x="3"/>
        <item x="7"/>
        <item t="default"/>
      </items>
    </pivotField>
    <pivotField axis="axisPage" showAll="0">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items count="7">
        <item x="3"/>
        <item x="2"/>
        <item x="0"/>
        <item x="1"/>
        <item x="4"/>
        <item x="5"/>
        <item t="default"/>
      </items>
    </pivotField>
    <pivotField showAll="0"/>
  </pivotFields>
  <rowFields count="1">
    <field x="3"/>
  </rowFields>
  <rowItems count="5">
    <i>
      <x/>
    </i>
    <i>
      <x v="1"/>
    </i>
    <i>
      <x v="2"/>
    </i>
    <i>
      <x v="3"/>
    </i>
    <i t="grand">
      <x/>
    </i>
  </rowItems>
  <colItems count="1">
    <i/>
  </colItems>
  <pageFields count="1">
    <pageField fld="2" hier="-1"/>
  </pageFields>
  <dataFields count="1">
    <dataField name="Suma de TIEMPO (MI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54894-3AF9-4E14-BFC4-F3D5AF1D5BE3}" name="TablaDinámica3"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Area">
  <location ref="A14:B19" firstHeaderRow="1" firstDataRow="1" firstDataCol="1"/>
  <pivotFields count="7">
    <pivotField showAll="0">
      <items count="5">
        <item x="0"/>
        <item x="1"/>
        <item x="2"/>
        <item x="3"/>
        <item t="default"/>
      </items>
    </pivotField>
    <pivotField showAll="0"/>
    <pivotField showAll="0" sortType="ascending">
      <items count="7">
        <item x="2"/>
        <item x="3"/>
        <item x="4"/>
        <item x="1"/>
        <item x="0"/>
        <item x="5"/>
        <item t="default"/>
      </items>
    </pivotField>
    <pivotField axis="axisRow" showAll="0">
      <items count="5">
        <item x="1"/>
        <item x="0"/>
        <item x="2"/>
        <item x="3"/>
        <item t="default"/>
      </items>
    </pivotField>
    <pivotField showAll="0">
      <items count="9">
        <item x="0"/>
        <item x="1"/>
        <item x="5"/>
        <item x="2"/>
        <item x="3"/>
        <item x="6"/>
        <item x="4"/>
        <item x="7"/>
        <item t="default"/>
      </items>
    </pivotField>
    <pivotField dataField="1" showAll="0"/>
    <pivotField showAll="0">
      <items count="8">
        <item x="1"/>
        <item x="2"/>
        <item x="4"/>
        <item x="5"/>
        <item x="0"/>
        <item x="3"/>
        <item x="6"/>
        <item t="default"/>
      </items>
    </pivotField>
  </pivotFields>
  <rowFields count="1">
    <field x="3"/>
  </rowFields>
  <rowItems count="5">
    <i>
      <x/>
    </i>
    <i>
      <x v="1"/>
    </i>
    <i>
      <x v="2"/>
    </i>
    <i>
      <x v="3"/>
    </i>
    <i t="grand">
      <x/>
    </i>
  </rowItems>
  <colItems count="1">
    <i/>
  </colItems>
  <dataFields count="1">
    <dataField name="Tiempo promedio por tipo de incidencia" fld="5" subtotal="average" baseField="3" baseItem="0"/>
  </dataFields>
  <formats count="13">
    <format dxfId="13">
      <pivotArea type="topRight" dataOnly="0" labelOnly="1" outline="0" fieldPosition="0"/>
    </format>
    <format dxfId="12">
      <pivotArea field="2" type="button" dataOnly="0" labelOnly="1" outline="0"/>
    </format>
    <format dxfId="11">
      <pivotArea field="2" type="button" dataOnly="0" labelOnly="1" outline="0"/>
    </format>
    <format dxfId="10">
      <pivotArea field="2" type="button" dataOnly="0" labelOnly="1" outline="0"/>
    </format>
    <format dxfId="9">
      <pivotArea dataOnly="0" outline="0" axis="axisValues" fieldPosition="0"/>
    </format>
    <format dxfId="8">
      <pivotArea grandRow="1" outline="0" collapsedLevelsAreSubtotals="1" fieldPosition="0"/>
    </format>
    <format dxfId="7">
      <pivotArea dataOnly="0" grandRow="1" axis="axisRow" fieldPosition="0"/>
    </format>
    <format dxfId="6">
      <pivotArea dataOnly="0" grandRow="1" axis="axisRow" fieldPosition="0"/>
    </format>
    <format dxfId="5">
      <pivotArea dataOnly="0" labelOnly="1" grandRow="1" outline="0" fieldPosition="0"/>
    </format>
    <format dxfId="4">
      <pivotArea field="3" type="button" dataOnly="0" labelOnly="1" outline="0" axis="axisRow" fieldPosition="0"/>
    </format>
    <format dxfId="3">
      <pivotArea field="3" type="button" dataOnly="0" labelOnly="1" outline="0" axis="axisRow" fieldPosition="0"/>
    </format>
    <format dxfId="2">
      <pivotArea outline="0" collapsedLevelsAreSubtotals="1" fieldPosition="0"/>
    </format>
    <format dxfId="1">
      <pivotArea dataOnly="0" fieldPosition="0">
        <references count="1">
          <reference field="3" count="0"/>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62056D-0EF0-46E6-AE63-92AA8FC0C240}"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rowHeaderCaption="Area">
  <location ref="A3:B10" firstHeaderRow="1" firstDataRow="1" firstDataCol="1"/>
  <pivotFields count="7">
    <pivotField showAll="0">
      <items count="5">
        <item x="0"/>
        <item x="1"/>
        <item x="2"/>
        <item x="3"/>
        <item t="default"/>
      </items>
    </pivotField>
    <pivotField showAll="0"/>
    <pivotField axis="axisRow" dataField="1" showAll="0" sortType="ascending">
      <items count="7">
        <item x="2"/>
        <item x="3"/>
        <item x="4"/>
        <item x="1"/>
        <item x="0"/>
        <item x="5"/>
        <item t="default"/>
      </items>
    </pivotField>
    <pivotField showAll="0">
      <items count="5">
        <item x="1"/>
        <item x="0"/>
        <item x="2"/>
        <item x="3"/>
        <item t="default"/>
      </items>
    </pivotField>
    <pivotField showAll="0">
      <items count="9">
        <item x="0"/>
        <item x="1"/>
        <item x="5"/>
        <item x="2"/>
        <item x="3"/>
        <item x="6"/>
        <item x="4"/>
        <item x="7"/>
        <item t="default"/>
      </items>
    </pivotField>
    <pivotField showAll="0"/>
    <pivotField showAll="0">
      <items count="8">
        <item x="1"/>
        <item x="2"/>
        <item x="4"/>
        <item x="5"/>
        <item x="0"/>
        <item x="3"/>
        <item x="6"/>
        <item t="default"/>
      </items>
    </pivotField>
  </pivotFields>
  <rowFields count="1">
    <field x="2"/>
  </rowFields>
  <rowItems count="7">
    <i>
      <x/>
    </i>
    <i>
      <x v="1"/>
    </i>
    <i>
      <x v="2"/>
    </i>
    <i>
      <x v="3"/>
    </i>
    <i>
      <x v="4"/>
    </i>
    <i>
      <x v="5"/>
    </i>
    <i t="grand">
      <x/>
    </i>
  </rowItems>
  <colItems count="1">
    <i/>
  </colItems>
  <dataFields count="1">
    <dataField name="Incidencias por area" fld="2" subtotal="count" baseField="2" baseItem="0"/>
  </dataFields>
  <formats count="16">
    <format dxfId="29">
      <pivotArea type="topRight" dataOnly="0" labelOnly="1" outline="0" fieldPosition="0"/>
    </format>
    <format dxfId="28">
      <pivotArea field="2" type="button" dataOnly="0" labelOnly="1" outline="0" axis="axisRow" fieldPosition="0"/>
    </format>
    <format dxfId="27">
      <pivotArea field="2" type="button" dataOnly="0" labelOnly="1" outline="0" axis="axisRow" fieldPosition="0"/>
    </format>
    <format dxfId="26">
      <pivotArea field="2" type="button" dataOnly="0" labelOnly="1" outline="0" axis="axisRow" fieldPosition="0"/>
    </format>
    <format dxfId="25">
      <pivotArea dataOnly="0" outline="0" axis="axisValues" fieldPosition="0"/>
    </format>
    <format dxfId="24">
      <pivotArea collapsedLevelsAreSubtotals="1" fieldPosition="0">
        <references count="1">
          <reference field="2" count="5">
            <x v="0"/>
            <x v="1"/>
            <x v="2"/>
            <x v="3"/>
            <x v="4"/>
          </reference>
        </references>
      </pivotArea>
    </format>
    <format dxfId="23">
      <pivotArea grandRow="1" outline="0" collapsedLevelsAreSubtotals="1" fieldPosition="0"/>
    </format>
    <format dxfId="22">
      <pivotArea dataOnly="0" fieldPosition="0">
        <references count="1">
          <reference field="2" count="0"/>
        </references>
      </pivotArea>
    </format>
    <format dxfId="21">
      <pivotArea dataOnly="0" fieldPosition="0">
        <references count="1">
          <reference field="2" count="0"/>
        </references>
      </pivotArea>
    </format>
    <format dxfId="20">
      <pivotArea dataOnly="0" grandRow="1" axis="axisRow" fieldPosition="0"/>
    </format>
    <format dxfId="19">
      <pivotArea dataOnly="0" grandRow="1" axis="axisRow" fieldPosition="0"/>
    </format>
    <format dxfId="18">
      <pivotArea dataOnly="0" labelOnly="1" fieldPosition="0">
        <references count="1">
          <reference field="2" count="0"/>
        </references>
      </pivotArea>
    </format>
    <format dxfId="17">
      <pivotArea dataOnly="0" labelOnly="1" grandRow="1" outline="0" fieldPosition="0"/>
    </format>
    <format dxfId="16">
      <pivotArea outline="0" collapsedLevelsAreSubtotals="1" fieldPosition="0"/>
    </format>
    <format dxfId="15">
      <pivotArea dataOnly="0" labelOnly="1" fieldPosition="0">
        <references count="1">
          <reference field="2" count="0"/>
        </references>
      </pivotArea>
    </format>
    <format dxfId="14">
      <pivotArea dataOnly="0" labelOnly="1" grandRow="1" outline="0"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5E42B0-B286-4073-88D3-EC9AFBFEAC63}" name="td_incidencias" displayName="td_incidencias" ref="D6:K46" totalsRowShown="0" headerRowDxfId="38" dataDxfId="37">
  <autoFilter ref="D6:K46" xr:uid="{C35E42B0-B286-4073-88D3-EC9AFBFEAC63}"/>
  <tableColumns count="8">
    <tableColumn id="1" xr3:uid="{8A52C66E-BD73-435C-B5AA-B3ED343405DE}" name="FECHA" dataDxfId="36"/>
    <tableColumn id="2" xr3:uid="{84A16F4E-76AE-4916-85A2-48D10448BBB9}" name="USUARIO" dataDxfId="35"/>
    <tableColumn id="3" xr3:uid="{F24C7990-3502-438C-AA01-7BE3566F6CFA}" name="AREA" dataDxfId="34"/>
    <tableColumn id="4" xr3:uid="{61A56AFC-C8C5-4135-8AD7-1E23E1B8CF72}" name="CATEGORIA" dataDxfId="33"/>
    <tableColumn id="8" xr3:uid="{A2004659-9C80-7F40-A5A7-7EA1876BF3BB}" name="TIPO_PROBLEMA" dataDxfId="0"/>
    <tableColumn id="5" xr3:uid="{689F0453-985C-4526-A61A-939CEE9711B0}" name="DETALLE" dataDxfId="32"/>
    <tableColumn id="6" xr3:uid="{230DCA08-028F-4A2C-818B-4F7A11BF804D}" name="TIEMPO (MIN)" dataDxfId="31"/>
    <tableColumn id="7" xr3:uid="{A1ED4D1C-C5E9-4EF0-A446-5ED9D6783D7E}" name="SOLUCIÓN" dataDxfId="30"/>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0AB2-7F9B-AC44-B6D2-CB1EC8357412}">
  <dimension ref="A2:H34"/>
  <sheetViews>
    <sheetView topLeftCell="A17" zoomScale="130" zoomScaleNormal="130" workbookViewId="0">
      <selection activeCell="B21" sqref="B21"/>
    </sheetView>
  </sheetViews>
  <sheetFormatPr baseColWidth="10" defaultRowHeight="15" x14ac:dyDescent="0.2"/>
  <cols>
    <col min="1" max="1" width="18.83203125" bestFit="1" customWidth="1"/>
    <col min="2" max="2" width="20.33203125" bestFit="1" customWidth="1"/>
    <col min="3" max="3" width="8" bestFit="1" customWidth="1"/>
    <col min="4" max="4" width="9.6640625" bestFit="1" customWidth="1"/>
    <col min="5" max="5" width="7.83203125" bestFit="1" customWidth="1"/>
    <col min="6" max="6" width="6.5" bestFit="1" customWidth="1"/>
    <col min="7" max="7" width="9.6640625" bestFit="1" customWidth="1"/>
    <col min="8" max="8" width="11.1640625" bestFit="1" customWidth="1"/>
    <col min="9" max="9" width="9.6640625" bestFit="1" customWidth="1"/>
    <col min="10" max="10" width="11.1640625" bestFit="1" customWidth="1"/>
    <col min="11" max="11" width="31.33203125" bestFit="1" customWidth="1"/>
    <col min="12" max="12" width="38" bestFit="1" customWidth="1"/>
    <col min="13" max="13" width="33.1640625" bestFit="1" customWidth="1"/>
    <col min="14" max="14" width="24" bestFit="1" customWidth="1"/>
    <col min="15" max="15" width="15.5" bestFit="1" customWidth="1"/>
    <col min="16" max="16" width="24.33203125" bestFit="1" customWidth="1"/>
    <col min="17" max="17" width="9.6640625" bestFit="1" customWidth="1"/>
    <col min="18" max="18" width="23.1640625" bestFit="1" customWidth="1"/>
    <col min="19" max="19" width="22" bestFit="1" customWidth="1"/>
  </cols>
  <sheetData>
    <row r="2" spans="1:2" x14ac:dyDescent="0.2">
      <c r="A2" s="11" t="s">
        <v>3</v>
      </c>
      <c r="B2" t="s">
        <v>58</v>
      </c>
    </row>
    <row r="4" spans="1:2" x14ac:dyDescent="0.2">
      <c r="A4" s="11" t="s">
        <v>57</v>
      </c>
      <c r="B4" t="s">
        <v>59</v>
      </c>
    </row>
    <row r="5" spans="1:2" x14ac:dyDescent="0.2">
      <c r="A5" s="12" t="s">
        <v>10</v>
      </c>
      <c r="B5">
        <v>5</v>
      </c>
    </row>
    <row r="6" spans="1:2" x14ac:dyDescent="0.2">
      <c r="A6" s="12" t="s">
        <v>7</v>
      </c>
      <c r="B6">
        <v>143</v>
      </c>
    </row>
    <row r="7" spans="1:2" x14ac:dyDescent="0.2">
      <c r="A7" s="12" t="s">
        <v>9</v>
      </c>
      <c r="B7">
        <v>2</v>
      </c>
    </row>
    <row r="8" spans="1:2" x14ac:dyDescent="0.2">
      <c r="A8" s="12" t="s">
        <v>38</v>
      </c>
    </row>
    <row r="9" spans="1:2" x14ac:dyDescent="0.2">
      <c r="A9" s="12" t="s">
        <v>39</v>
      </c>
      <c r="B9">
        <v>150</v>
      </c>
    </row>
    <row r="17" spans="1:8" x14ac:dyDescent="0.2">
      <c r="A17" s="11" t="s">
        <v>59</v>
      </c>
      <c r="B17" s="11" t="s">
        <v>66</v>
      </c>
    </row>
    <row r="18" spans="1:8" x14ac:dyDescent="0.2">
      <c r="A18" s="11" t="s">
        <v>57</v>
      </c>
      <c r="B18" t="s">
        <v>14</v>
      </c>
      <c r="C18" t="s">
        <v>20</v>
      </c>
      <c r="D18" t="s">
        <v>36</v>
      </c>
      <c r="E18" t="s">
        <v>26</v>
      </c>
      <c r="F18" t="s">
        <v>13</v>
      </c>
      <c r="G18" t="s">
        <v>38</v>
      </c>
      <c r="H18" t="s">
        <v>39</v>
      </c>
    </row>
    <row r="19" spans="1:8" x14ac:dyDescent="0.2">
      <c r="A19" s="12" t="s">
        <v>10</v>
      </c>
      <c r="E19">
        <v>5</v>
      </c>
      <c r="H19">
        <v>5</v>
      </c>
    </row>
    <row r="20" spans="1:8" x14ac:dyDescent="0.2">
      <c r="A20" s="12" t="s">
        <v>7</v>
      </c>
      <c r="B20">
        <v>10</v>
      </c>
      <c r="C20">
        <v>3</v>
      </c>
      <c r="D20">
        <v>5</v>
      </c>
      <c r="F20">
        <v>125</v>
      </c>
      <c r="H20">
        <v>143</v>
      </c>
    </row>
    <row r="21" spans="1:8" x14ac:dyDescent="0.2">
      <c r="A21" s="12" t="s">
        <v>9</v>
      </c>
      <c r="C21">
        <v>2</v>
      </c>
      <c r="H21">
        <v>2</v>
      </c>
    </row>
    <row r="22" spans="1:8" x14ac:dyDescent="0.2">
      <c r="A22" s="12" t="s">
        <v>38</v>
      </c>
    </row>
    <row r="23" spans="1:8" x14ac:dyDescent="0.2">
      <c r="A23" s="12" t="s">
        <v>39</v>
      </c>
      <c r="B23">
        <v>10</v>
      </c>
      <c r="C23">
        <v>5</v>
      </c>
      <c r="D23">
        <v>5</v>
      </c>
      <c r="E23">
        <v>5</v>
      </c>
      <c r="F23">
        <v>125</v>
      </c>
      <c r="H23">
        <v>150</v>
      </c>
    </row>
    <row r="31" spans="1:8" ht="19" x14ac:dyDescent="0.25">
      <c r="A31" t="s">
        <v>68</v>
      </c>
    </row>
    <row r="32" spans="1:8" ht="20" customHeight="1" x14ac:dyDescent="0.2">
      <c r="A32" s="15" t="s">
        <v>64</v>
      </c>
    </row>
    <row r="33" spans="1:1" ht="21" customHeight="1" x14ac:dyDescent="0.2">
      <c r="A33" t="s">
        <v>65</v>
      </c>
    </row>
    <row r="34" spans="1:1" ht="23" customHeight="1" x14ac:dyDescent="0.2">
      <c r="A34" t="s">
        <v>67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810B-A5F7-4058-AB60-96890792FA6F}">
  <dimension ref="B4:L48"/>
  <sheetViews>
    <sheetView tabSelected="1" topLeftCell="G36" zoomScale="231" zoomScaleNormal="231" workbookViewId="0">
      <selection activeCell="I44" sqref="I44"/>
    </sheetView>
  </sheetViews>
  <sheetFormatPr baseColWidth="10" defaultRowHeight="15" x14ac:dyDescent="0.2"/>
  <cols>
    <col min="2" max="2" width="24.83203125" customWidth="1"/>
    <col min="4" max="4" width="15" customWidth="1"/>
    <col min="5" max="5" width="16.6640625" customWidth="1"/>
    <col min="7" max="8" width="25.5" customWidth="1"/>
    <col min="9" max="9" width="52.83203125" customWidth="1"/>
    <col min="10" max="10" width="19.5" customWidth="1"/>
    <col min="11" max="11" width="74.6640625" customWidth="1"/>
    <col min="12" max="12" width="10" customWidth="1"/>
  </cols>
  <sheetData>
    <row r="4" spans="2:12" ht="24" x14ac:dyDescent="0.3">
      <c r="D4" s="1"/>
      <c r="I4" s="5" t="s">
        <v>0</v>
      </c>
    </row>
    <row r="6" spans="2:12" ht="19" x14ac:dyDescent="0.25">
      <c r="B6" s="2"/>
      <c r="D6" s="3" t="s">
        <v>1</v>
      </c>
      <c r="E6" s="3" t="s">
        <v>2</v>
      </c>
      <c r="F6" s="3" t="s">
        <v>3</v>
      </c>
      <c r="G6" s="3" t="s">
        <v>121</v>
      </c>
      <c r="H6" s="3" t="s">
        <v>122</v>
      </c>
      <c r="I6" s="3" t="s">
        <v>4</v>
      </c>
      <c r="J6" s="3" t="s">
        <v>5</v>
      </c>
      <c r="K6" s="3" t="s">
        <v>6</v>
      </c>
      <c r="L6" s="2"/>
    </row>
    <row r="7" spans="2:12" ht="22.5" customHeight="1" x14ac:dyDescent="0.2">
      <c r="D7" s="7">
        <v>46134</v>
      </c>
      <c r="E7" s="37" t="s">
        <v>11</v>
      </c>
      <c r="F7" s="6" t="s">
        <v>13</v>
      </c>
      <c r="G7" s="51" t="s">
        <v>10</v>
      </c>
      <c r="H7" s="51" t="s">
        <v>7</v>
      </c>
      <c r="I7" s="4" t="s">
        <v>15</v>
      </c>
      <c r="J7" s="6">
        <v>5</v>
      </c>
      <c r="K7" s="4" t="s">
        <v>17</v>
      </c>
      <c r="L7" s="4"/>
    </row>
    <row r="8" spans="2:12" ht="16" x14ac:dyDescent="0.2">
      <c r="D8" s="7">
        <v>46134</v>
      </c>
      <c r="E8" s="37" t="s">
        <v>25</v>
      </c>
      <c r="F8" s="6" t="s">
        <v>26</v>
      </c>
      <c r="G8" s="6" t="s">
        <v>10</v>
      </c>
      <c r="H8" s="51" t="s">
        <v>123</v>
      </c>
      <c r="I8" s="4" t="s">
        <v>27</v>
      </c>
      <c r="J8" s="6">
        <v>5</v>
      </c>
      <c r="K8" s="4" t="s">
        <v>28</v>
      </c>
      <c r="L8" s="4"/>
    </row>
    <row r="9" spans="2:12" ht="16" x14ac:dyDescent="0.2">
      <c r="D9" s="7">
        <v>46134</v>
      </c>
      <c r="E9" s="37" t="s">
        <v>12</v>
      </c>
      <c r="F9" s="6" t="s">
        <v>14</v>
      </c>
      <c r="G9" s="6" t="s">
        <v>10</v>
      </c>
      <c r="H9" s="51" t="s">
        <v>7</v>
      </c>
      <c r="I9" s="4" t="s">
        <v>16</v>
      </c>
      <c r="J9" s="6">
        <v>10</v>
      </c>
      <c r="K9" s="4" t="s">
        <v>18</v>
      </c>
      <c r="L9" s="4"/>
    </row>
    <row r="10" spans="2:12" ht="16" x14ac:dyDescent="0.2">
      <c r="D10" s="7">
        <v>46135</v>
      </c>
      <c r="E10" s="37" t="s">
        <v>19</v>
      </c>
      <c r="F10" s="6" t="s">
        <v>20</v>
      </c>
      <c r="G10" s="6" t="s">
        <v>10</v>
      </c>
      <c r="H10" s="51" t="s">
        <v>7</v>
      </c>
      <c r="I10" s="4" t="s">
        <v>21</v>
      </c>
      <c r="J10" s="6">
        <v>3</v>
      </c>
      <c r="K10" s="49" t="s">
        <v>22</v>
      </c>
      <c r="L10" s="4"/>
    </row>
    <row r="11" spans="2:12" ht="16" x14ac:dyDescent="0.2">
      <c r="D11" s="7">
        <v>46135</v>
      </c>
      <c r="E11" s="37" t="s">
        <v>29</v>
      </c>
      <c r="F11" s="6" t="s">
        <v>20</v>
      </c>
      <c r="G11" s="6" t="s">
        <v>9</v>
      </c>
      <c r="H11" s="51" t="s">
        <v>124</v>
      </c>
      <c r="I11" s="4" t="s">
        <v>30</v>
      </c>
      <c r="J11" s="6">
        <v>2</v>
      </c>
      <c r="K11" s="4" t="s">
        <v>31</v>
      </c>
      <c r="L11" s="4"/>
    </row>
    <row r="12" spans="2:12" ht="16" x14ac:dyDescent="0.2">
      <c r="D12" s="7">
        <v>46136</v>
      </c>
      <c r="E12" s="37" t="s">
        <v>32</v>
      </c>
      <c r="F12" s="6" t="s">
        <v>13</v>
      </c>
      <c r="G12" s="6" t="s">
        <v>10</v>
      </c>
      <c r="H12" s="6" t="s">
        <v>7</v>
      </c>
      <c r="I12" s="4" t="s">
        <v>33</v>
      </c>
      <c r="J12" s="6">
        <v>120</v>
      </c>
      <c r="K12" s="4" t="s">
        <v>34</v>
      </c>
    </row>
    <row r="13" spans="2:12" ht="16" x14ac:dyDescent="0.2">
      <c r="B13" t="s">
        <v>23</v>
      </c>
      <c r="D13" s="7">
        <v>46136</v>
      </c>
      <c r="E13" s="37" t="s">
        <v>35</v>
      </c>
      <c r="F13" s="6" t="s">
        <v>36</v>
      </c>
      <c r="G13" s="6" t="s">
        <v>10</v>
      </c>
      <c r="H13" s="6" t="s">
        <v>7</v>
      </c>
      <c r="I13" s="4" t="s">
        <v>37</v>
      </c>
      <c r="J13" s="6">
        <v>5</v>
      </c>
      <c r="K13" s="4" t="s">
        <v>18</v>
      </c>
    </row>
    <row r="14" spans="2:12" ht="16" x14ac:dyDescent="0.2">
      <c r="B14" t="s">
        <v>7</v>
      </c>
      <c r="D14" s="7">
        <v>46141</v>
      </c>
      <c r="E14" s="37" t="s">
        <v>43</v>
      </c>
      <c r="F14" s="6" t="s">
        <v>14</v>
      </c>
      <c r="G14" s="6" t="s">
        <v>10</v>
      </c>
      <c r="H14" s="6" t="s">
        <v>7</v>
      </c>
      <c r="I14" s="4" t="s">
        <v>44</v>
      </c>
      <c r="J14" s="6">
        <v>5</v>
      </c>
      <c r="K14" s="4" t="s">
        <v>45</v>
      </c>
    </row>
    <row r="15" spans="2:12" ht="16" x14ac:dyDescent="0.2">
      <c r="B15" t="s">
        <v>8</v>
      </c>
      <c r="D15" s="7">
        <v>46142</v>
      </c>
      <c r="E15" s="37" t="s">
        <v>46</v>
      </c>
      <c r="F15" s="6" t="s">
        <v>47</v>
      </c>
      <c r="G15" s="6" t="s">
        <v>10</v>
      </c>
      <c r="H15" s="6" t="s">
        <v>7</v>
      </c>
      <c r="I15" s="4" t="s">
        <v>48</v>
      </c>
      <c r="J15" s="6">
        <v>5</v>
      </c>
      <c r="K15" s="4" t="s">
        <v>18</v>
      </c>
    </row>
    <row r="16" spans="2:12" ht="16" x14ac:dyDescent="0.2">
      <c r="B16" t="s">
        <v>24</v>
      </c>
      <c r="D16" s="7">
        <v>46142</v>
      </c>
      <c r="E16" s="37" t="s">
        <v>29</v>
      </c>
      <c r="F16" s="6" t="s">
        <v>20</v>
      </c>
      <c r="G16" s="6" t="s">
        <v>10</v>
      </c>
      <c r="H16" s="6" t="s">
        <v>7</v>
      </c>
      <c r="I16" s="4" t="s">
        <v>49</v>
      </c>
      <c r="J16" s="6">
        <v>5</v>
      </c>
      <c r="K16" s="4" t="s">
        <v>18</v>
      </c>
    </row>
    <row r="17" spans="2:11" ht="16" x14ac:dyDescent="0.2">
      <c r="B17" t="s">
        <v>9</v>
      </c>
      <c r="D17" s="7">
        <v>46146</v>
      </c>
      <c r="E17" s="37" t="s">
        <v>50</v>
      </c>
      <c r="F17" s="6" t="s">
        <v>51</v>
      </c>
      <c r="G17" s="6" t="s">
        <v>10</v>
      </c>
      <c r="H17" s="6" t="s">
        <v>7</v>
      </c>
      <c r="I17" s="4" t="s">
        <v>49</v>
      </c>
      <c r="J17" s="6">
        <v>5</v>
      </c>
      <c r="K17" s="4" t="s">
        <v>52</v>
      </c>
    </row>
    <row r="18" spans="2:11" ht="16" x14ac:dyDescent="0.2">
      <c r="B18" t="s">
        <v>10</v>
      </c>
      <c r="D18" s="7">
        <v>46146</v>
      </c>
      <c r="E18" s="37" t="s">
        <v>12</v>
      </c>
      <c r="F18" s="6" t="s">
        <v>14</v>
      </c>
      <c r="G18" s="6" t="s">
        <v>9</v>
      </c>
      <c r="H18" s="51" t="s">
        <v>128</v>
      </c>
      <c r="I18" s="52" t="s">
        <v>125</v>
      </c>
      <c r="J18" s="6">
        <v>3</v>
      </c>
      <c r="K18" s="4" t="s">
        <v>53</v>
      </c>
    </row>
    <row r="19" spans="2:11" ht="16" x14ac:dyDescent="0.2">
      <c r="D19" s="7">
        <v>46146</v>
      </c>
      <c r="E19" s="37" t="s">
        <v>54</v>
      </c>
      <c r="F19" s="6" t="s">
        <v>13</v>
      </c>
      <c r="G19" s="6" t="s">
        <v>9</v>
      </c>
      <c r="H19" s="51" t="s">
        <v>126</v>
      </c>
      <c r="I19" s="4" t="s">
        <v>55</v>
      </c>
      <c r="J19" s="6">
        <v>15</v>
      </c>
      <c r="K19" s="4" t="s">
        <v>56</v>
      </c>
    </row>
    <row r="20" spans="2:11" ht="16" x14ac:dyDescent="0.2">
      <c r="D20" s="7">
        <v>46149</v>
      </c>
      <c r="E20" s="37" t="s">
        <v>60</v>
      </c>
      <c r="F20" s="13" t="s">
        <v>61</v>
      </c>
      <c r="G20" s="13" t="s">
        <v>10</v>
      </c>
      <c r="H20" s="13" t="s">
        <v>10</v>
      </c>
      <c r="I20" s="14" t="s">
        <v>62</v>
      </c>
      <c r="J20" s="6">
        <v>3</v>
      </c>
      <c r="K20" s="14" t="s">
        <v>63</v>
      </c>
    </row>
    <row r="21" spans="2:11" ht="16" x14ac:dyDescent="0.2">
      <c r="D21" s="16">
        <v>46149</v>
      </c>
      <c r="E21" s="37" t="s">
        <v>69</v>
      </c>
      <c r="F21" s="17" t="s">
        <v>36</v>
      </c>
      <c r="G21" s="17" t="s">
        <v>9</v>
      </c>
      <c r="H21" s="51" t="s">
        <v>127</v>
      </c>
      <c r="I21" s="18" t="s">
        <v>70</v>
      </c>
      <c r="J21" s="17">
        <v>3</v>
      </c>
      <c r="K21" s="18" t="s">
        <v>71</v>
      </c>
    </row>
    <row r="22" spans="2:11" ht="16" x14ac:dyDescent="0.2">
      <c r="D22" s="20">
        <v>46149</v>
      </c>
      <c r="E22" s="37" t="s">
        <v>43</v>
      </c>
      <c r="F22" s="19" t="s">
        <v>14</v>
      </c>
      <c r="G22" s="19" t="s">
        <v>9</v>
      </c>
      <c r="H22" s="51" t="s">
        <v>128</v>
      </c>
      <c r="I22" s="21" t="s">
        <v>72</v>
      </c>
      <c r="J22" s="19">
        <v>10</v>
      </c>
      <c r="K22" s="21" t="s">
        <v>73</v>
      </c>
    </row>
    <row r="23" spans="2:11" ht="16" x14ac:dyDescent="0.2">
      <c r="D23" s="22">
        <v>46150</v>
      </c>
      <c r="E23" s="37" t="s">
        <v>11</v>
      </c>
      <c r="F23" s="23" t="s">
        <v>13</v>
      </c>
      <c r="G23" s="23" t="s">
        <v>9</v>
      </c>
      <c r="H23" s="51" t="s">
        <v>126</v>
      </c>
      <c r="I23" s="24" t="s">
        <v>74</v>
      </c>
      <c r="J23" s="23">
        <v>5</v>
      </c>
      <c r="K23" s="24" t="s">
        <v>75</v>
      </c>
    </row>
    <row r="24" spans="2:11" ht="16" x14ac:dyDescent="0.2">
      <c r="D24" s="25">
        <v>46153</v>
      </c>
      <c r="E24" s="37" t="s">
        <v>86</v>
      </c>
      <c r="F24" s="26" t="s">
        <v>13</v>
      </c>
      <c r="G24" s="26" t="s">
        <v>10</v>
      </c>
      <c r="H24" s="26" t="s">
        <v>10</v>
      </c>
      <c r="I24" s="27" t="s">
        <v>76</v>
      </c>
      <c r="J24" s="26">
        <v>10</v>
      </c>
      <c r="K24" s="27" t="s">
        <v>77</v>
      </c>
    </row>
    <row r="25" spans="2:11" ht="16" x14ac:dyDescent="0.2">
      <c r="D25" s="28">
        <v>46153</v>
      </c>
      <c r="E25" s="37" t="s">
        <v>86</v>
      </c>
      <c r="F25" s="29" t="s">
        <v>13</v>
      </c>
      <c r="G25" s="29" t="s">
        <v>9</v>
      </c>
      <c r="H25" s="51" t="s">
        <v>124</v>
      </c>
      <c r="I25" s="30" t="s">
        <v>78</v>
      </c>
      <c r="J25" s="29">
        <v>5</v>
      </c>
      <c r="K25" s="30" t="s">
        <v>79</v>
      </c>
    </row>
    <row r="26" spans="2:11" ht="16" x14ac:dyDescent="0.2">
      <c r="D26" s="31">
        <v>46153</v>
      </c>
      <c r="E26" s="37" t="s">
        <v>86</v>
      </c>
      <c r="F26" s="32" t="s">
        <v>13</v>
      </c>
      <c r="G26" s="32" t="s">
        <v>10</v>
      </c>
      <c r="H26" s="32" t="s">
        <v>7</v>
      </c>
      <c r="I26" s="33" t="s">
        <v>80</v>
      </c>
      <c r="J26" s="32">
        <v>10</v>
      </c>
      <c r="K26" s="33" t="s">
        <v>81</v>
      </c>
    </row>
    <row r="27" spans="2:11" ht="16" x14ac:dyDescent="0.2">
      <c r="D27" s="31">
        <v>46153</v>
      </c>
      <c r="E27" s="37" t="s">
        <v>82</v>
      </c>
      <c r="F27" s="32" t="s">
        <v>13</v>
      </c>
      <c r="G27" s="32" t="s">
        <v>9</v>
      </c>
      <c r="H27" s="51" t="s">
        <v>124</v>
      </c>
      <c r="I27" s="33" t="s">
        <v>83</v>
      </c>
      <c r="J27" s="32">
        <v>2</v>
      </c>
      <c r="K27" s="33" t="s">
        <v>31</v>
      </c>
    </row>
    <row r="28" spans="2:11" ht="16" x14ac:dyDescent="0.2">
      <c r="D28" s="34">
        <v>46154</v>
      </c>
      <c r="E28" s="37" t="s">
        <v>86</v>
      </c>
      <c r="F28" s="35" t="s">
        <v>13</v>
      </c>
      <c r="G28" s="35" t="s">
        <v>10</v>
      </c>
      <c r="H28" s="35" t="s">
        <v>10</v>
      </c>
      <c r="I28" s="36" t="s">
        <v>84</v>
      </c>
      <c r="J28" s="35">
        <v>5</v>
      </c>
      <c r="K28" s="36" t="s">
        <v>85</v>
      </c>
    </row>
    <row r="29" spans="2:11" ht="16" x14ac:dyDescent="0.2">
      <c r="D29" s="38">
        <v>46154</v>
      </c>
      <c r="E29" s="39" t="s">
        <v>43</v>
      </c>
      <c r="F29" s="39" t="s">
        <v>14</v>
      </c>
      <c r="G29" s="39" t="s">
        <v>10</v>
      </c>
      <c r="H29" s="39" t="s">
        <v>7</v>
      </c>
      <c r="I29" s="40" t="s">
        <v>88</v>
      </c>
      <c r="J29" s="39">
        <v>5</v>
      </c>
      <c r="K29" s="40" t="s">
        <v>89</v>
      </c>
    </row>
    <row r="30" spans="2:11" ht="16" x14ac:dyDescent="0.2">
      <c r="D30" s="38">
        <v>46154</v>
      </c>
      <c r="E30" s="39" t="s">
        <v>43</v>
      </c>
      <c r="F30" s="39" t="s">
        <v>14</v>
      </c>
      <c r="G30" s="39" t="s">
        <v>10</v>
      </c>
      <c r="H30" s="39" t="s">
        <v>7</v>
      </c>
      <c r="I30" s="40" t="s">
        <v>91</v>
      </c>
      <c r="J30" s="39">
        <v>5</v>
      </c>
      <c r="K30" s="40" t="s">
        <v>90</v>
      </c>
    </row>
    <row r="31" spans="2:11" ht="16" x14ac:dyDescent="0.2">
      <c r="D31" s="38">
        <v>46154</v>
      </c>
      <c r="E31" s="39" t="s">
        <v>43</v>
      </c>
      <c r="F31" s="39" t="s">
        <v>14</v>
      </c>
      <c r="G31" s="39" t="s">
        <v>10</v>
      </c>
      <c r="H31" s="39" t="s">
        <v>7</v>
      </c>
      <c r="I31" s="40" t="s">
        <v>92</v>
      </c>
      <c r="J31" s="39">
        <v>10</v>
      </c>
      <c r="K31" s="40" t="s">
        <v>93</v>
      </c>
    </row>
    <row r="32" spans="2:11" ht="16" x14ac:dyDescent="0.2">
      <c r="D32" s="38">
        <v>46155</v>
      </c>
      <c r="E32" s="39" t="s">
        <v>87</v>
      </c>
      <c r="F32" s="39" t="s">
        <v>26</v>
      </c>
      <c r="G32" s="39" t="s">
        <v>9</v>
      </c>
      <c r="H32" s="51" t="s">
        <v>126</v>
      </c>
      <c r="I32" s="40" t="s">
        <v>94</v>
      </c>
      <c r="J32" s="39">
        <v>20</v>
      </c>
      <c r="K32" s="40" t="s">
        <v>95</v>
      </c>
    </row>
    <row r="33" spans="4:11" ht="16" x14ac:dyDescent="0.2">
      <c r="D33" s="38">
        <v>46155</v>
      </c>
      <c r="E33" s="42" t="s">
        <v>86</v>
      </c>
      <c r="F33" s="42" t="s">
        <v>13</v>
      </c>
      <c r="G33" s="42" t="s">
        <v>10</v>
      </c>
      <c r="H33" s="42" t="s">
        <v>10</v>
      </c>
      <c r="I33" s="43" t="s">
        <v>88</v>
      </c>
      <c r="J33" s="39">
        <v>15</v>
      </c>
      <c r="K33" s="43" t="s">
        <v>96</v>
      </c>
    </row>
    <row r="34" spans="4:11" ht="16" x14ac:dyDescent="0.2">
      <c r="D34" s="38">
        <v>46155</v>
      </c>
      <c r="E34" s="42" t="s">
        <v>32</v>
      </c>
      <c r="F34" s="42" t="s">
        <v>13</v>
      </c>
      <c r="G34" s="42" t="s">
        <v>9</v>
      </c>
      <c r="H34" s="51" t="s">
        <v>129</v>
      </c>
      <c r="I34" s="43" t="s">
        <v>97</v>
      </c>
      <c r="J34" s="39">
        <v>10</v>
      </c>
      <c r="K34" s="43" t="s">
        <v>98</v>
      </c>
    </row>
    <row r="35" spans="4:11" ht="16" x14ac:dyDescent="0.2">
      <c r="D35" s="41">
        <v>46156</v>
      </c>
      <c r="E35" s="45" t="s">
        <v>29</v>
      </c>
      <c r="F35" s="45" t="s">
        <v>20</v>
      </c>
      <c r="G35" s="45" t="s">
        <v>10</v>
      </c>
      <c r="H35" s="45" t="s">
        <v>7</v>
      </c>
      <c r="I35" s="46" t="s">
        <v>99</v>
      </c>
      <c r="J35" s="42">
        <v>10</v>
      </c>
      <c r="K35" s="46" t="s">
        <v>100</v>
      </c>
    </row>
    <row r="36" spans="4:11" ht="16" x14ac:dyDescent="0.2">
      <c r="D36" s="44">
        <v>46187</v>
      </c>
      <c r="E36" s="45" t="s">
        <v>32</v>
      </c>
      <c r="F36" s="45" t="s">
        <v>13</v>
      </c>
      <c r="G36" s="45" t="s">
        <v>9</v>
      </c>
      <c r="H36" s="51" t="s">
        <v>126</v>
      </c>
      <c r="I36" s="46" t="s">
        <v>101</v>
      </c>
      <c r="J36" s="45">
        <v>15</v>
      </c>
      <c r="K36" s="46" t="s">
        <v>102</v>
      </c>
    </row>
    <row r="37" spans="4:11" ht="16" x14ac:dyDescent="0.2">
      <c r="D37" s="44">
        <v>46160</v>
      </c>
      <c r="E37" s="48" t="s">
        <v>87</v>
      </c>
      <c r="F37" s="48" t="s">
        <v>26</v>
      </c>
      <c r="G37" s="48" t="s">
        <v>9</v>
      </c>
      <c r="H37" s="51" t="s">
        <v>130</v>
      </c>
      <c r="I37" s="49" t="s">
        <v>103</v>
      </c>
      <c r="J37" s="45">
        <v>30</v>
      </c>
      <c r="K37" s="49" t="s">
        <v>104</v>
      </c>
    </row>
    <row r="38" spans="4:11" ht="16" x14ac:dyDescent="0.2">
      <c r="D38" s="44">
        <v>46160</v>
      </c>
      <c r="E38" s="48" t="s">
        <v>43</v>
      </c>
      <c r="F38" s="48" t="s">
        <v>14</v>
      </c>
      <c r="G38" s="48" t="s">
        <v>9</v>
      </c>
      <c r="H38" s="51" t="s">
        <v>124</v>
      </c>
      <c r="I38" s="49" t="s">
        <v>105</v>
      </c>
      <c r="J38" s="45">
        <v>10</v>
      </c>
      <c r="K38" s="49" t="s">
        <v>106</v>
      </c>
    </row>
    <row r="39" spans="4:11" ht="16" x14ac:dyDescent="0.2">
      <c r="D39" s="44">
        <v>46160</v>
      </c>
      <c r="E39" s="48" t="s">
        <v>60</v>
      </c>
      <c r="F39" s="48" t="s">
        <v>61</v>
      </c>
      <c r="G39" s="48" t="s">
        <v>9</v>
      </c>
      <c r="H39" s="51" t="s">
        <v>124</v>
      </c>
      <c r="I39" s="49" t="s">
        <v>107</v>
      </c>
      <c r="J39" s="45">
        <v>3</v>
      </c>
      <c r="K39" s="49" t="s">
        <v>108</v>
      </c>
    </row>
    <row r="40" spans="4:11" ht="16" x14ac:dyDescent="0.2">
      <c r="D40" s="44">
        <v>46160</v>
      </c>
      <c r="E40" s="48" t="s">
        <v>19</v>
      </c>
      <c r="F40" s="48" t="s">
        <v>20</v>
      </c>
      <c r="G40" s="48" t="s">
        <v>10</v>
      </c>
      <c r="H40" s="48" t="s">
        <v>10</v>
      </c>
      <c r="I40" s="49" t="s">
        <v>109</v>
      </c>
      <c r="J40" s="45">
        <v>10</v>
      </c>
      <c r="K40" s="49" t="s">
        <v>110</v>
      </c>
    </row>
    <row r="41" spans="4:11" ht="16" x14ac:dyDescent="0.2">
      <c r="D41" s="44">
        <v>46160</v>
      </c>
      <c r="E41" s="48" t="s">
        <v>29</v>
      </c>
      <c r="F41" s="48" t="s">
        <v>20</v>
      </c>
      <c r="G41" s="48" t="s">
        <v>9</v>
      </c>
      <c r="H41" s="51" t="s">
        <v>124</v>
      </c>
      <c r="I41" s="46" t="s">
        <v>107</v>
      </c>
      <c r="J41" s="45">
        <v>3</v>
      </c>
      <c r="K41" s="46" t="s">
        <v>108</v>
      </c>
    </row>
    <row r="42" spans="4:11" ht="16" x14ac:dyDescent="0.2">
      <c r="D42" s="47">
        <v>46160</v>
      </c>
      <c r="E42" s="48" t="s">
        <v>19</v>
      </c>
      <c r="F42" s="48" t="s">
        <v>20</v>
      </c>
      <c r="G42" s="48" t="s">
        <v>10</v>
      </c>
      <c r="H42" s="48" t="s">
        <v>7</v>
      </c>
      <c r="I42" s="49" t="s">
        <v>21</v>
      </c>
      <c r="J42" s="48">
        <v>5</v>
      </c>
      <c r="K42" s="49" t="s">
        <v>22</v>
      </c>
    </row>
    <row r="43" spans="4:11" ht="16" x14ac:dyDescent="0.2">
      <c r="D43" s="47">
        <v>46161</v>
      </c>
      <c r="E43" s="48" t="s">
        <v>86</v>
      </c>
      <c r="F43" s="48" t="s">
        <v>13</v>
      </c>
      <c r="G43" s="48" t="s">
        <v>10</v>
      </c>
      <c r="H43" s="48" t="s">
        <v>10</v>
      </c>
      <c r="I43" s="49" t="s">
        <v>111</v>
      </c>
      <c r="J43" s="48">
        <v>10</v>
      </c>
      <c r="K43" s="49" t="s">
        <v>112</v>
      </c>
    </row>
    <row r="44" spans="4:11" ht="16" x14ac:dyDescent="0.2">
      <c r="D44" s="47">
        <v>46161</v>
      </c>
      <c r="E44" s="48" t="s">
        <v>113</v>
      </c>
      <c r="F44" s="48" t="s">
        <v>13</v>
      </c>
      <c r="G44" s="48" t="s">
        <v>9</v>
      </c>
      <c r="H44" s="51" t="s">
        <v>126</v>
      </c>
      <c r="I44" s="49" t="s">
        <v>114</v>
      </c>
      <c r="J44" s="48">
        <v>10</v>
      </c>
      <c r="K44" s="49" t="s">
        <v>115</v>
      </c>
    </row>
    <row r="45" spans="4:11" ht="16" x14ac:dyDescent="0.2">
      <c r="D45" s="50">
        <v>46161</v>
      </c>
      <c r="E45" s="51" t="s">
        <v>11</v>
      </c>
      <c r="F45" s="51" t="s">
        <v>13</v>
      </c>
      <c r="G45" s="51" t="s">
        <v>10</v>
      </c>
      <c r="H45" s="51" t="s">
        <v>10</v>
      </c>
      <c r="I45" s="52" t="s">
        <v>116</v>
      </c>
      <c r="J45" s="51">
        <v>5</v>
      </c>
      <c r="K45" s="52" t="s">
        <v>117</v>
      </c>
    </row>
    <row r="46" spans="4:11" ht="16" x14ac:dyDescent="0.2">
      <c r="D46" s="50">
        <v>46162</v>
      </c>
      <c r="E46" s="51" t="s">
        <v>118</v>
      </c>
      <c r="F46" s="51" t="s">
        <v>14</v>
      </c>
      <c r="G46" s="51" t="s">
        <v>10</v>
      </c>
      <c r="H46" s="51" t="s">
        <v>10</v>
      </c>
      <c r="I46" s="52" t="s">
        <v>119</v>
      </c>
      <c r="J46" s="51">
        <v>5</v>
      </c>
      <c r="K46" s="52" t="s">
        <v>120</v>
      </c>
    </row>
    <row r="47" spans="4:11" ht="16" x14ac:dyDescent="0.2">
      <c r="D47" s="7"/>
    </row>
    <row r="48" spans="4:11" ht="16" x14ac:dyDescent="0.2">
      <c r="D48" s="7"/>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ADFE7-CD8A-4F46-9B6A-64982968DEA7}">
  <dimension ref="A3:B19"/>
  <sheetViews>
    <sheetView workbookViewId="0">
      <selection activeCell="F15" sqref="F15"/>
    </sheetView>
  </sheetViews>
  <sheetFormatPr baseColWidth="10" defaultRowHeight="15" x14ac:dyDescent="0.2"/>
  <cols>
    <col min="1" max="1" width="13.33203125" bestFit="1" customWidth="1"/>
    <col min="2" max="2" width="45.5" customWidth="1"/>
    <col min="3" max="3" width="10.83203125" bestFit="1" customWidth="1"/>
    <col min="4" max="4" width="9.83203125" bestFit="1" customWidth="1"/>
    <col min="5" max="5" width="11" bestFit="1" customWidth="1"/>
    <col min="6" max="6" width="12.5" bestFit="1" customWidth="1"/>
    <col min="7" max="7" width="37.1640625" bestFit="1" customWidth="1"/>
    <col min="8" max="8" width="18.6640625" bestFit="1" customWidth="1"/>
    <col min="9" max="9" width="37.1640625" bestFit="1" customWidth="1"/>
    <col min="10" max="10" width="23.6640625" bestFit="1" customWidth="1"/>
    <col min="11" max="11" width="42.1640625" bestFit="1" customWidth="1"/>
  </cols>
  <sheetData>
    <row r="3" spans="1:2" ht="19" x14ac:dyDescent="0.25">
      <c r="A3" s="9" t="s">
        <v>42</v>
      </c>
      <c r="B3" s="8" t="s">
        <v>40</v>
      </c>
    </row>
    <row r="4" spans="1:2" ht="16" x14ac:dyDescent="0.2">
      <c r="A4" s="10" t="s">
        <v>14</v>
      </c>
      <c r="B4" s="6">
        <v>1</v>
      </c>
    </row>
    <row r="5" spans="1:2" ht="16" x14ac:dyDescent="0.2">
      <c r="A5" s="10" t="s">
        <v>20</v>
      </c>
      <c r="B5" s="6">
        <v>2</v>
      </c>
    </row>
    <row r="6" spans="1:2" ht="16" x14ac:dyDescent="0.2">
      <c r="A6" s="10" t="s">
        <v>36</v>
      </c>
      <c r="B6" s="6">
        <v>1</v>
      </c>
    </row>
    <row r="7" spans="1:2" ht="16" x14ac:dyDescent="0.2">
      <c r="A7" s="10" t="s">
        <v>26</v>
      </c>
      <c r="B7" s="6">
        <v>1</v>
      </c>
    </row>
    <row r="8" spans="1:2" ht="16" x14ac:dyDescent="0.2">
      <c r="A8" s="10" t="s">
        <v>13</v>
      </c>
      <c r="B8" s="6">
        <v>2</v>
      </c>
    </row>
    <row r="9" spans="1:2" ht="16" x14ac:dyDescent="0.2">
      <c r="A9" s="10" t="s">
        <v>38</v>
      </c>
      <c r="B9" s="6"/>
    </row>
    <row r="10" spans="1:2" ht="16" x14ac:dyDescent="0.2">
      <c r="A10" s="10" t="s">
        <v>39</v>
      </c>
      <c r="B10" s="6">
        <v>7</v>
      </c>
    </row>
    <row r="13" spans="1:2" ht="19" x14ac:dyDescent="0.25">
      <c r="A13" s="8"/>
    </row>
    <row r="14" spans="1:2" ht="19" x14ac:dyDescent="0.25">
      <c r="A14" s="9" t="s">
        <v>42</v>
      </c>
      <c r="B14" s="8" t="s">
        <v>41</v>
      </c>
    </row>
    <row r="15" spans="1:2" ht="16" x14ac:dyDescent="0.2">
      <c r="A15" s="10" t="s">
        <v>10</v>
      </c>
      <c r="B15" s="6">
        <v>5</v>
      </c>
    </row>
    <row r="16" spans="1:2" ht="16" x14ac:dyDescent="0.2">
      <c r="A16" s="10" t="s">
        <v>7</v>
      </c>
      <c r="B16" s="6">
        <v>28.6</v>
      </c>
    </row>
    <row r="17" spans="1:2" ht="16" x14ac:dyDescent="0.2">
      <c r="A17" s="10" t="s">
        <v>9</v>
      </c>
      <c r="B17" s="6">
        <v>2</v>
      </c>
    </row>
    <row r="18" spans="1:2" ht="16" x14ac:dyDescent="0.2">
      <c r="A18" s="10" t="s">
        <v>38</v>
      </c>
      <c r="B18" s="6"/>
    </row>
    <row r="19" spans="1:2" ht="16" x14ac:dyDescent="0.2">
      <c r="A19" s="10" t="s">
        <v>39</v>
      </c>
      <c r="B19" s="6">
        <v>21.428571428571427</v>
      </c>
    </row>
  </sheetData>
  <pageMargins left="0.7" right="0.7" top="0.75" bottom="0.75" header="0.3" footer="0.3"/>
  <pageSetup orientation="portrait" horizontalDpi="300" verticalDpi="300"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Tabla_dinamica</vt:lpstr>
      <vt:lpstr>Datos Incidencias</vt:lpstr>
      <vt:lpstr>TD Incidencias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 Bedolla</dc:creator>
  <cp:lastModifiedBy>Rene Bedolla</cp:lastModifiedBy>
  <dcterms:created xsi:type="dcterms:W3CDTF">2026-04-23T15:01:27Z</dcterms:created>
  <dcterms:modified xsi:type="dcterms:W3CDTF">2026-05-20T17:27:17Z</dcterms:modified>
</cp:coreProperties>
</file>